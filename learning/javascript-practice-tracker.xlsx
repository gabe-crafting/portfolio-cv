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shboard" sheetId="2" state="visible" r:id="rId4"/>
    <sheet name="Lists" sheetId="3" state="visible" r:id="rId5"/>
    <sheet name="How to use" sheetId="4" state="visible" r:id="rId6"/>
  </sheets>
  <definedNames>
    <definedName function="false" hidden="true" localSheetId="0" name="_xlnm._FilterDatabase" vbProcedure="false">Tracker!$A$4:$I$26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<sst xmlns="http://schemas.openxmlformats.org/spreadsheetml/2006/main" count="191" uniqueCount="113">
  <si>
    <t xml:space="preserve">Practice tracker</t>
  </si>
  <si>
    <t xml:space="preserve">Fill in the yellow columns as you work. Progress and the Dashboard recalculate on their own.</t>
  </si>
  <si>
    <t xml:space="preserve">Topic</t>
  </si>
  <si>
    <t xml:space="preserve">Reference sheet</t>
  </si>
  <si>
    <t xml:space="preserve">Difficulty</t>
  </si>
  <si>
    <t xml:space="preserve">Status</t>
  </si>
  <si>
    <t xml:space="preserve">Confidence 1-5</t>
  </si>
  <si>
    <t xml:space="preserve">Last reviewed</t>
  </si>
  <si>
    <t xml:space="preserve">Progress</t>
  </si>
  <si>
    <t xml:space="preserve">Exercise to complete</t>
  </si>
  <si>
    <t xml:space="preserve">Notes</t>
  </si>
  <si>
    <t xml:space="preserve">Variables and Scope</t>
  </si>
  <si>
    <t xml:space="preserve">01 Variables and Scope</t>
  </si>
  <si>
    <t xml:space="preserve">Easy</t>
  </si>
  <si>
    <t xml:space="preserve">Not started</t>
  </si>
  <si>
    <t xml:space="preserve">Write a counter with a closure and explain why the value survives.</t>
  </si>
  <si>
    <t xml:space="preserve">Types and Coercion</t>
  </si>
  <si>
    <t xml:space="preserve">02 Types and Coercion</t>
  </si>
  <si>
    <t xml:space="preserve">List the eight falsy values from memory, then verify each one.</t>
  </si>
  <si>
    <t xml:space="preserve">Operators</t>
  </si>
  <si>
    <t xml:space="preserve">03 Operators</t>
  </si>
  <si>
    <t xml:space="preserve">Rewrite three || defaults as ?? and describe what changes.</t>
  </si>
  <si>
    <t xml:space="preserve">Strings</t>
  </si>
  <si>
    <t xml:space="preserve">04 Strings</t>
  </si>
  <si>
    <t xml:space="preserve">Build a slug function: lowercase, trim, replace spaces with dashes.</t>
  </si>
  <si>
    <t xml:space="preserve">Arrays: map filter reduce</t>
  </si>
  <si>
    <t xml:space="preserve">05 Arrays</t>
  </si>
  <si>
    <t xml:space="preserve">Medium</t>
  </si>
  <si>
    <t xml:space="preserve">From an array of orders, compute the total for one customer without a for loop.</t>
  </si>
  <si>
    <t xml:space="preserve">Arrays: mutation</t>
  </si>
  <si>
    <t xml:space="preserve">Sort a list without touching the original array.</t>
  </si>
  <si>
    <t xml:space="preserve">Objects</t>
  </si>
  <si>
    <t xml:space="preserve">06 Objects</t>
  </si>
  <si>
    <t xml:space="preserve">Merge defaults with user options, then prove the copy is shallow.</t>
  </si>
  <si>
    <t xml:space="preserve">Destructuring</t>
  </si>
  <si>
    <t xml:space="preserve">Destructure a nested API response with defaults for missing fields.</t>
  </si>
  <si>
    <t xml:space="preserve">Functions and closures</t>
  </si>
  <si>
    <t xml:space="preserve">07 Functions</t>
  </si>
  <si>
    <t xml:space="preserve">Write a once(fn) helper that runs its argument only the first time.</t>
  </si>
  <si>
    <t xml:space="preserve">this and binding</t>
  </si>
  <si>
    <t xml:space="preserve">Hard</t>
  </si>
  <si>
    <t xml:space="preserve">Show the same method losing this, then fix it three different ways.</t>
  </si>
  <si>
    <t xml:space="preserve">Modern syntax</t>
  </si>
  <si>
    <t xml:space="preserve">08 Modern Syntax</t>
  </si>
  <si>
    <t xml:space="preserve">Refactor an old ES5 snippet into arrows, const, and template literals.</t>
  </si>
  <si>
    <t xml:space="preserve">Classes and modules</t>
  </si>
  <si>
    <t xml:space="preserve">Split a script into two modules with named and default exports.</t>
  </si>
  <si>
    <t xml:space="preserve">Promises</t>
  </si>
  <si>
    <t xml:space="preserve">09 Asynchronous JavaScript</t>
  </si>
  <si>
    <t xml:space="preserve">Chain three fetches with then, then rewrite it using await.</t>
  </si>
  <si>
    <t xml:space="preserve">async and await</t>
  </si>
  <si>
    <t xml:space="preserve">Load five URLs in parallel and handle one of them failing.</t>
  </si>
  <si>
    <t xml:space="preserve">Event loop</t>
  </si>
  <si>
    <t xml:space="preserve">Predict the log order of a mixed setTimeout and Promise snippet.</t>
  </si>
  <si>
    <t xml:space="preserve">DOM manipulation</t>
  </si>
  <si>
    <t xml:space="preserve">10 DOM and Events</t>
  </si>
  <si>
    <t xml:space="preserve">Render a list from an array, then remove one item on click.</t>
  </si>
  <si>
    <t xml:space="preserve">Events and delegation</t>
  </si>
  <si>
    <t xml:space="preserve">Handle clicks for a list that grows, using a single listener.</t>
  </si>
  <si>
    <t xml:space="preserve">Forms</t>
  </si>
  <si>
    <t xml:space="preserve">Validate a form on submit without letting the page reload.</t>
  </si>
  <si>
    <t xml:space="preserve">Error handling</t>
  </si>
  <si>
    <t xml:space="preserve">11 Errors and Debugging</t>
  </si>
  <si>
    <t xml:space="preserve">Wrap a fetch so a 404 throws a custom NotFound error.</t>
  </si>
  <si>
    <t xml:space="preserve">Debugging</t>
  </si>
  <si>
    <t xml:space="preserve">Find a planted bug using breakpoints only, with no console.log.</t>
  </si>
  <si>
    <t xml:space="preserve">Interview gotchas</t>
  </si>
  <si>
    <t xml:space="preserve">12 Gotchas and Interview Prep</t>
  </si>
  <si>
    <t xml:space="preserve">Explain 0.1 + 0.2, typeof null, and the var loop out loud.</t>
  </si>
  <si>
    <t xml:space="preserve">Mini project</t>
  </si>
  <si>
    <t xml:space="preserve">All sheets</t>
  </si>
  <si>
    <t xml:space="preserve">Build a to-do app: render, add, delete, filter, and persist to localStorage.</t>
  </si>
  <si>
    <t xml:space="preserve">Dashboard</t>
  </si>
  <si>
    <t xml:space="preserve">Every figure is a formula over the Tracker sheet. Nothing here is typed in by hand.</t>
  </si>
  <si>
    <t xml:space="preserve">Summary</t>
  </si>
  <si>
    <t xml:space="preserve">Value</t>
  </si>
  <si>
    <t xml:space="preserve">Topics tracked</t>
  </si>
  <si>
    <t xml:space="preserve">Overall progress</t>
  </si>
  <si>
    <t xml:space="preserve">Average confidence</t>
  </si>
  <si>
    <t xml:space="preserve">Topics never reviewed</t>
  </si>
  <si>
    <t xml:space="preserve">Next topic to pick up</t>
  </si>
  <si>
    <t xml:space="preserve">By status</t>
  </si>
  <si>
    <t xml:space="preserve">Topics</t>
  </si>
  <si>
    <t xml:space="preserve">Share</t>
  </si>
  <si>
    <t xml:space="preserve">Learning</t>
  </si>
  <si>
    <t xml:space="preserve">Practising</t>
  </si>
  <si>
    <t xml:space="preserve">Confident</t>
  </si>
  <si>
    <t xml:space="preserve">By difficulty</t>
  </si>
  <si>
    <t xml:space="preserve">Progress weights come from the Lists sheet, so the totals shift if you change them there.</t>
  </si>
  <si>
    <t xml:space="preserve">Lookup lists</t>
  </si>
  <si>
    <t xml:space="preserve">Drives the dropdowns and the Progress formula on the Tracker sheet. Change a weight and every total updates.</t>
  </si>
  <si>
    <t xml:space="preserve">Progress weight</t>
  </si>
  <si>
    <t xml:space="preserve">Assumption: the weights above are a study convention, not a measurement. Adjust them to taste.</t>
  </si>
  <si>
    <t xml:space="preserve">How to use the tracker</t>
  </si>
  <si>
    <t xml:space="preserve">Three sheets: Tracker is where you type, Dashboard is calculated, Lists holds the dropdown values.</t>
  </si>
  <si>
    <t xml:space="preserve">Legend</t>
  </si>
  <si>
    <t xml:space="preserve">Yellow cells</t>
  </si>
  <si>
    <t xml:space="preserve">The only cells you edit: Difficulty, Status, Confidence, Last reviewed, Notes.</t>
  </si>
  <si>
    <t xml:space="preserve">White cells</t>
  </si>
  <si>
    <t xml:space="preserve">Reference text and formulas. Leave them alone.</t>
  </si>
  <si>
    <t xml:space="preserve">Progress column</t>
  </si>
  <si>
    <t xml:space="preserve">Calculated from Status using the weights on the Lists sheet.</t>
  </si>
  <si>
    <t xml:space="preserve">Entirely formulas. It updates the moment you change a status.</t>
  </si>
  <si>
    <t xml:space="preserve">Example of a filled-in row</t>
  </si>
  <si>
    <t xml:space="preserve">2026-08-14</t>
  </si>
  <si>
    <t xml:space="preserve">70%</t>
  </si>
  <si>
    <t xml:space="preserve">reduce still needs the docs, map and filter are fine.</t>
  </si>
  <si>
    <t xml:space="preserve">Illustration only. Type your own values on the Tracker sheet, where Progress is a formula rather than text.</t>
  </si>
  <si>
    <t xml:space="preserve">A suggested rhythm</t>
  </si>
  <si>
    <t xml:space="preserve">•  Pick the topic named in Next topic to pick up on the Dashboard.</t>
  </si>
  <si>
    <t xml:space="preserve">•  Read that sheet in javascript-essentials.xlsx, then do the exercise from column H without looking back at it.</t>
  </si>
  <si>
    <t xml:space="preserve">•  Set the status, score your confidence from 1 to 5, and date the row.</t>
  </si>
  <si>
    <t xml:space="preserve">•  Anything scored 3 or below goes back to Learning after a week.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</si>
</sst>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%"/>
    <numFmt numFmtId="167" formatCode="0"/>
    <numFmt numFmtId="168" formatCode="0.0%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324F"/>
      <name val="Arial"/>
      <family val="0"/>
      <charset val="1"/>
    </font>
    <font>
      <i val="true"/>
      <sz val="10"/>
      <color rgb="FF5A67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  <font>
      <i val="true"/>
      <sz val="9"/>
      <color rgb="FF5A67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324F"/>
        <bgColor rgb="FF1F2933"/>
      </patternFill>
    </fill>
    <fill>
      <patternFill patternType="solid">
        <fgColor rgb="FFFFF9C4"/>
        <bgColor rgb="FFFFFF99"/>
      </patternFill>
    </fill>
    <fill>
      <patternFill patternType="solid">
        <fgColor rgb="FFF2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D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6324F"/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8C9C4"/>
          <bgColor rgb="FF000000"/>
        </patternFill>
      </fill>
    </dxf>
    <dxf>
      <font>
        <name val="Arial"/>
        <charset val="1"/>
        <family val="0"/>
        <b val="1"/>
        <color rgb="FF1B6E3C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E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2F5F8"/>
      <rgbColor rgb="FF660066"/>
      <rgbColor rgb="FFFF8080"/>
      <rgbColor rgb="FF0066CC"/>
      <rgbColor rgb="FFD6DD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772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58"/>
    <col collapsed="false" customWidth="true" hidden="false" outlineLevel="0" max="9" min="9" style="0" width="3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6" t="s">
        <v>13</v>
      </c>
      <c r="D5" s="7" t="s">
        <v>14</v>
      </c>
      <c r="E5" s="6"/>
      <c r="F5" s="8"/>
      <c r="G5" s="9" t="n">
        <f aca="false">IFERROR(INDEX(Lists!$B$5:$B$8,MATCH(D5,Lists!$A$5:$A$8,0)),0)</f>
        <v>0</v>
      </c>
      <c r="H5" s="5" t="s">
        <v>15</v>
      </c>
      <c r="I5" s="7"/>
    </row>
    <row r="6" customFormat="false" ht="15" hidden="false" customHeight="false" outlineLevel="0" collapsed="false">
      <c r="A6" s="10" t="s">
        <v>16</v>
      </c>
      <c r="B6" s="11" t="s">
        <v>17</v>
      </c>
      <c r="C6" s="6" t="s">
        <v>13</v>
      </c>
      <c r="D6" s="7" t="s">
        <v>14</v>
      </c>
      <c r="E6" s="6"/>
      <c r="F6" s="8"/>
      <c r="G6" s="12" t="n">
        <f aca="false">IFERROR(INDEX(Lists!$B$5:$B$8,MATCH(D6,Lists!$A$5:$A$8,0)),0)</f>
        <v>0</v>
      </c>
      <c r="H6" s="11" t="s">
        <v>18</v>
      </c>
      <c r="I6" s="7"/>
    </row>
    <row r="7" customFormat="false" ht="15" hidden="false" customHeight="false" outlineLevel="0" collapsed="false">
      <c r="A7" s="4" t="s">
        <v>19</v>
      </c>
      <c r="B7" s="5" t="s">
        <v>20</v>
      </c>
      <c r="C7" s="6" t="s">
        <v>13</v>
      </c>
      <c r="D7" s="7" t="s">
        <v>14</v>
      </c>
      <c r="E7" s="6"/>
      <c r="F7" s="8"/>
      <c r="G7" s="9" t="n">
        <f aca="false">IFERROR(INDEX(Lists!$B$5:$B$8,MATCH(D7,Lists!$A$5:$A$8,0)),0)</f>
        <v>0</v>
      </c>
      <c r="H7" s="5" t="s">
        <v>21</v>
      </c>
      <c r="I7" s="7"/>
    </row>
    <row r="8" customFormat="false" ht="15" hidden="false" customHeight="false" outlineLevel="0" collapsed="false">
      <c r="A8" s="10" t="s">
        <v>22</v>
      </c>
      <c r="B8" s="11" t="s">
        <v>23</v>
      </c>
      <c r="C8" s="6" t="s">
        <v>13</v>
      </c>
      <c r="D8" s="7" t="s">
        <v>14</v>
      </c>
      <c r="E8" s="6"/>
      <c r="F8" s="8"/>
      <c r="G8" s="12" t="n">
        <f aca="false">IFERROR(INDEX(Lists!$B$5:$B$8,MATCH(D8,Lists!$A$5:$A$8,0)),0)</f>
        <v>0</v>
      </c>
      <c r="H8" s="11" t="s">
        <v>24</v>
      </c>
      <c r="I8" s="7"/>
    </row>
    <row r="9" customFormat="false" ht="15" hidden="false" customHeight="false" outlineLevel="0" collapsed="false">
      <c r="A9" s="4" t="s">
        <v>25</v>
      </c>
      <c r="B9" s="5" t="s">
        <v>26</v>
      </c>
      <c r="C9" s="6" t="s">
        <v>27</v>
      </c>
      <c r="D9" s="7" t="s">
        <v>14</v>
      </c>
      <c r="E9" s="6"/>
      <c r="F9" s="8"/>
      <c r="G9" s="9" t="n">
        <f aca="false">IFERROR(INDEX(Lists!$B$5:$B$8,MATCH(D9,Lists!$A$5:$A$8,0)),0)</f>
        <v>0</v>
      </c>
      <c r="H9" s="5" t="s">
        <v>28</v>
      </c>
      <c r="I9" s="7"/>
    </row>
    <row r="10" customFormat="false" ht="15" hidden="false" customHeight="false" outlineLevel="0" collapsed="false">
      <c r="A10" s="10" t="s">
        <v>29</v>
      </c>
      <c r="B10" s="11" t="s">
        <v>26</v>
      </c>
      <c r="C10" s="6" t="s">
        <v>27</v>
      </c>
      <c r="D10" s="7" t="s">
        <v>14</v>
      </c>
      <c r="E10" s="6"/>
      <c r="F10" s="8"/>
      <c r="G10" s="12" t="n">
        <f aca="false">IFERROR(INDEX(Lists!$B$5:$B$8,MATCH(D10,Lists!$A$5:$A$8,0)),0)</f>
        <v>0</v>
      </c>
      <c r="H10" s="11" t="s">
        <v>30</v>
      </c>
      <c r="I10" s="7"/>
    </row>
    <row r="11" customFormat="false" ht="15" hidden="false" customHeight="false" outlineLevel="0" collapsed="false">
      <c r="A11" s="4" t="s">
        <v>31</v>
      </c>
      <c r="B11" s="5" t="s">
        <v>32</v>
      </c>
      <c r="C11" s="6" t="s">
        <v>27</v>
      </c>
      <c r="D11" s="7" t="s">
        <v>14</v>
      </c>
      <c r="E11" s="6"/>
      <c r="F11" s="8"/>
      <c r="G11" s="9" t="n">
        <f aca="false">IFERROR(INDEX(Lists!$B$5:$B$8,MATCH(D11,Lists!$A$5:$A$8,0)),0)</f>
        <v>0</v>
      </c>
      <c r="H11" s="5" t="s">
        <v>33</v>
      </c>
      <c r="I11" s="7"/>
    </row>
    <row r="12" customFormat="false" ht="15" hidden="false" customHeight="false" outlineLevel="0" collapsed="false">
      <c r="A12" s="10" t="s">
        <v>34</v>
      </c>
      <c r="B12" s="11" t="s">
        <v>32</v>
      </c>
      <c r="C12" s="6" t="s">
        <v>13</v>
      </c>
      <c r="D12" s="7" t="s">
        <v>14</v>
      </c>
      <c r="E12" s="6"/>
      <c r="F12" s="8"/>
      <c r="G12" s="12" t="n">
        <f aca="false">IFERROR(INDEX(Lists!$B$5:$B$8,MATCH(D12,Lists!$A$5:$A$8,0)),0)</f>
        <v>0</v>
      </c>
      <c r="H12" s="11" t="s">
        <v>35</v>
      </c>
      <c r="I12" s="7"/>
    </row>
    <row r="13" customFormat="false" ht="15" hidden="false" customHeight="false" outlineLevel="0" collapsed="false">
      <c r="A13" s="4" t="s">
        <v>36</v>
      </c>
      <c r="B13" s="5" t="s">
        <v>37</v>
      </c>
      <c r="C13" s="6" t="s">
        <v>27</v>
      </c>
      <c r="D13" s="7" t="s">
        <v>14</v>
      </c>
      <c r="E13" s="6"/>
      <c r="F13" s="8"/>
      <c r="G13" s="9" t="n">
        <f aca="false">IFERROR(INDEX(Lists!$B$5:$B$8,MATCH(D13,Lists!$A$5:$A$8,0)),0)</f>
        <v>0</v>
      </c>
      <c r="H13" s="5" t="s">
        <v>38</v>
      </c>
      <c r="I13" s="7"/>
    </row>
    <row r="14" customFormat="false" ht="15" hidden="false" customHeight="false" outlineLevel="0" collapsed="false">
      <c r="A14" s="10" t="s">
        <v>39</v>
      </c>
      <c r="B14" s="11" t="s">
        <v>37</v>
      </c>
      <c r="C14" s="6" t="s">
        <v>40</v>
      </c>
      <c r="D14" s="7" t="s">
        <v>14</v>
      </c>
      <c r="E14" s="6"/>
      <c r="F14" s="8"/>
      <c r="G14" s="12" t="n">
        <f aca="false">IFERROR(INDEX(Lists!$B$5:$B$8,MATCH(D14,Lists!$A$5:$A$8,0)),0)</f>
        <v>0</v>
      </c>
      <c r="H14" s="11" t="s">
        <v>41</v>
      </c>
      <c r="I14" s="7"/>
    </row>
    <row r="15" customFormat="false" ht="15" hidden="false" customHeight="false" outlineLevel="0" collapsed="false">
      <c r="A15" s="4" t="s">
        <v>42</v>
      </c>
      <c r="B15" s="5" t="s">
        <v>43</v>
      </c>
      <c r="C15" s="6" t="s">
        <v>13</v>
      </c>
      <c r="D15" s="7" t="s">
        <v>14</v>
      </c>
      <c r="E15" s="6"/>
      <c r="F15" s="8"/>
      <c r="G15" s="9" t="n">
        <f aca="false">IFERROR(INDEX(Lists!$B$5:$B$8,MATCH(D15,Lists!$A$5:$A$8,0)),0)</f>
        <v>0</v>
      </c>
      <c r="H15" s="5" t="s">
        <v>44</v>
      </c>
      <c r="I15" s="7"/>
    </row>
    <row r="16" customFormat="false" ht="15" hidden="false" customHeight="false" outlineLevel="0" collapsed="false">
      <c r="A16" s="10" t="s">
        <v>45</v>
      </c>
      <c r="B16" s="11" t="s">
        <v>43</v>
      </c>
      <c r="C16" s="6" t="s">
        <v>27</v>
      </c>
      <c r="D16" s="7" t="s">
        <v>14</v>
      </c>
      <c r="E16" s="6"/>
      <c r="F16" s="8"/>
      <c r="G16" s="12" t="n">
        <f aca="false">IFERROR(INDEX(Lists!$B$5:$B$8,MATCH(D16,Lists!$A$5:$A$8,0)),0)</f>
        <v>0</v>
      </c>
      <c r="H16" s="11" t="s">
        <v>46</v>
      </c>
      <c r="I16" s="7"/>
    </row>
    <row r="17" customFormat="false" ht="15" hidden="false" customHeight="false" outlineLevel="0" collapsed="false">
      <c r="A17" s="4" t="s">
        <v>47</v>
      </c>
      <c r="B17" s="5" t="s">
        <v>48</v>
      </c>
      <c r="C17" s="6" t="s">
        <v>27</v>
      </c>
      <c r="D17" s="7" t="s">
        <v>14</v>
      </c>
      <c r="E17" s="6"/>
      <c r="F17" s="8"/>
      <c r="G17" s="9" t="n">
        <f aca="false">IFERROR(INDEX(Lists!$B$5:$B$8,MATCH(D17,Lists!$A$5:$A$8,0)),0)</f>
        <v>0</v>
      </c>
      <c r="H17" s="5" t="s">
        <v>49</v>
      </c>
      <c r="I17" s="7"/>
    </row>
    <row r="18" customFormat="false" ht="15" hidden="false" customHeight="false" outlineLevel="0" collapsed="false">
      <c r="A18" s="10" t="s">
        <v>50</v>
      </c>
      <c r="B18" s="11" t="s">
        <v>48</v>
      </c>
      <c r="C18" s="6" t="s">
        <v>27</v>
      </c>
      <c r="D18" s="7" t="s">
        <v>14</v>
      </c>
      <c r="E18" s="6"/>
      <c r="F18" s="8"/>
      <c r="G18" s="12" t="n">
        <f aca="false">IFERROR(INDEX(Lists!$B$5:$B$8,MATCH(D18,Lists!$A$5:$A$8,0)),0)</f>
        <v>0</v>
      </c>
      <c r="H18" s="11" t="s">
        <v>51</v>
      </c>
      <c r="I18" s="7"/>
    </row>
    <row r="19" customFormat="false" ht="15" hidden="false" customHeight="false" outlineLevel="0" collapsed="false">
      <c r="A19" s="4" t="s">
        <v>52</v>
      </c>
      <c r="B19" s="5" t="s">
        <v>48</v>
      </c>
      <c r="C19" s="6" t="s">
        <v>40</v>
      </c>
      <c r="D19" s="7" t="s">
        <v>14</v>
      </c>
      <c r="E19" s="6"/>
      <c r="F19" s="8"/>
      <c r="G19" s="9" t="n">
        <f aca="false">IFERROR(INDEX(Lists!$B$5:$B$8,MATCH(D19,Lists!$A$5:$A$8,0)),0)</f>
        <v>0</v>
      </c>
      <c r="H19" s="5" t="s">
        <v>53</v>
      </c>
      <c r="I19" s="7"/>
    </row>
    <row r="20" customFormat="false" ht="15" hidden="false" customHeight="false" outlineLevel="0" collapsed="false">
      <c r="A20" s="10" t="s">
        <v>54</v>
      </c>
      <c r="B20" s="11" t="s">
        <v>55</v>
      </c>
      <c r="C20" s="6" t="s">
        <v>13</v>
      </c>
      <c r="D20" s="7" t="s">
        <v>14</v>
      </c>
      <c r="E20" s="6"/>
      <c r="F20" s="8"/>
      <c r="G20" s="12" t="n">
        <f aca="false">IFERROR(INDEX(Lists!$B$5:$B$8,MATCH(D20,Lists!$A$5:$A$8,0)),0)</f>
        <v>0</v>
      </c>
      <c r="H20" s="11" t="s">
        <v>56</v>
      </c>
      <c r="I20" s="7"/>
    </row>
    <row r="21" customFormat="false" ht="15" hidden="false" customHeight="false" outlineLevel="0" collapsed="false">
      <c r="A21" s="4" t="s">
        <v>57</v>
      </c>
      <c r="B21" s="5" t="s">
        <v>55</v>
      </c>
      <c r="C21" s="6" t="s">
        <v>27</v>
      </c>
      <c r="D21" s="7" t="s">
        <v>14</v>
      </c>
      <c r="E21" s="6"/>
      <c r="F21" s="8"/>
      <c r="G21" s="9" t="n">
        <f aca="false">IFERROR(INDEX(Lists!$B$5:$B$8,MATCH(D21,Lists!$A$5:$A$8,0)),0)</f>
        <v>0</v>
      </c>
      <c r="H21" s="5" t="s">
        <v>58</v>
      </c>
      <c r="I21" s="7"/>
    </row>
    <row r="22" customFormat="false" ht="15" hidden="false" customHeight="false" outlineLevel="0" collapsed="false">
      <c r="A22" s="10" t="s">
        <v>59</v>
      </c>
      <c r="B22" s="11" t="s">
        <v>55</v>
      </c>
      <c r="C22" s="6" t="s">
        <v>27</v>
      </c>
      <c r="D22" s="7" t="s">
        <v>14</v>
      </c>
      <c r="E22" s="6"/>
      <c r="F22" s="8"/>
      <c r="G22" s="12" t="n">
        <f aca="false">IFERROR(INDEX(Lists!$B$5:$B$8,MATCH(D22,Lists!$A$5:$A$8,0)),0)</f>
        <v>0</v>
      </c>
      <c r="H22" s="11" t="s">
        <v>60</v>
      </c>
      <c r="I22" s="7"/>
    </row>
    <row r="23" customFormat="false" ht="15" hidden="false" customHeight="false" outlineLevel="0" collapsed="false">
      <c r="A23" s="4" t="s">
        <v>61</v>
      </c>
      <c r="B23" s="5" t="s">
        <v>62</v>
      </c>
      <c r="C23" s="6" t="s">
        <v>27</v>
      </c>
      <c r="D23" s="7" t="s">
        <v>14</v>
      </c>
      <c r="E23" s="6"/>
      <c r="F23" s="8"/>
      <c r="G23" s="9" t="n">
        <f aca="false">IFERROR(INDEX(Lists!$B$5:$B$8,MATCH(D23,Lists!$A$5:$A$8,0)),0)</f>
        <v>0</v>
      </c>
      <c r="H23" s="5" t="s">
        <v>63</v>
      </c>
      <c r="I23" s="7"/>
    </row>
    <row r="24" customFormat="false" ht="15" hidden="false" customHeight="false" outlineLevel="0" collapsed="false">
      <c r="A24" s="10" t="s">
        <v>64</v>
      </c>
      <c r="B24" s="11" t="s">
        <v>62</v>
      </c>
      <c r="C24" s="6" t="s">
        <v>13</v>
      </c>
      <c r="D24" s="7" t="s">
        <v>14</v>
      </c>
      <c r="E24" s="6"/>
      <c r="F24" s="8"/>
      <c r="G24" s="12" t="n">
        <f aca="false">IFERROR(INDEX(Lists!$B$5:$B$8,MATCH(D24,Lists!$A$5:$A$8,0)),0)</f>
        <v>0</v>
      </c>
      <c r="H24" s="11" t="s">
        <v>65</v>
      </c>
      <c r="I24" s="7"/>
    </row>
    <row r="25" customFormat="false" ht="15" hidden="false" customHeight="false" outlineLevel="0" collapsed="false">
      <c r="A25" s="4" t="s">
        <v>66</v>
      </c>
      <c r="B25" s="5" t="s">
        <v>67</v>
      </c>
      <c r="C25" s="6" t="s">
        <v>40</v>
      </c>
      <c r="D25" s="7" t="s">
        <v>14</v>
      </c>
      <c r="E25" s="6"/>
      <c r="F25" s="8"/>
      <c r="G25" s="9" t="n">
        <f aca="false">IFERROR(INDEX(Lists!$B$5:$B$8,MATCH(D25,Lists!$A$5:$A$8,0)),0)</f>
        <v>0</v>
      </c>
      <c r="H25" s="5" t="s">
        <v>68</v>
      </c>
      <c r="I25" s="7"/>
    </row>
    <row r="26" customFormat="false" ht="15" hidden="false" customHeight="false" outlineLevel="0" collapsed="false">
      <c r="A26" s="10" t="s">
        <v>69</v>
      </c>
      <c r="B26" s="11" t="s">
        <v>70</v>
      </c>
      <c r="C26" s="6" t="s">
        <v>40</v>
      </c>
      <c r="D26" s="7" t="s">
        <v>14</v>
      </c>
      <c r="E26" s="6"/>
      <c r="F26" s="8"/>
      <c r="G26" s="12" t="n">
        <f aca="false">IFERROR(INDEX(Lists!$B$5:$B$8,MATCH(D26,Lists!$A$5:$A$8,0)),0)</f>
        <v>0</v>
      </c>
      <c r="H26" s="11" t="s">
        <v>71</v>
      </c>
      <c r="I26" s="7"/>
    </row>
  </sheetData>
  <autoFilter ref="A4:I26"/>
  <conditionalFormatting sqref="G5:G26">
    <cfRule type="colorScale" priority="2">
      <colorScale>
        <cfvo type="num" val="0"/>
        <cfvo type="num" val="0.5"/>
        <cfvo type="num" val="1"/>
        <color rgb="FFF8C9C4"/>
        <color rgb="FFFFE9A8"/>
        <color rgb="FFBFE3C6"/>
      </colorScale>
    </cfRule>
  </conditionalFormatting>
  <conditionalFormatting sqref="D5:D26">
    <cfRule type="cellIs" priority="3" operator="equal" aboveAverage="0" equalAverage="0" bottom="0" percent="0" rank="0" text="" dxfId="7">
      <formula>"Confident"</formula>
    </cfRule>
  </conditionalFormatting>
  <dataValidations count="3">
    <dataValidation allowBlank="true" error="Pick a status from the list." errorStyle="stop" operator="between" showDropDown="false" showErrorMessage="false" showInputMessage="false" sqref="D5:D26" type="list">
      <formula1>Lists!$A$5:$A$8</formula1>
      <formula2>0</formula2>
    </dataValidation>
    <dataValidation allowBlank="true" error="Confidence is a whole number from 1 to 5." errorStyle="stop" operator="between" showDropDown="false" showErrorMessage="false" showInputMessage="false" sqref="E5:E26" type="whole">
      <formula1>1</formula1>
      <formula2>5</formula2>
    </dataValidation>
    <dataValidation allowBlank="true" errorStyle="stop" operator="between" showDropDown="false" showErrorMessage="false" showInputMessage="false" sqref="C5:C26" type="list">
      <formula1>Lists!$D$5:$D$7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8.5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13" t="s">
        <v>74</v>
      </c>
      <c r="B4" s="13" t="s">
        <v>75</v>
      </c>
    </row>
    <row r="5" customFormat="false" ht="15" hidden="false" customHeight="false" outlineLevel="0" collapsed="false">
      <c r="A5" s="14" t="s">
        <v>76</v>
      </c>
      <c r="B5" s="15" t="n">
        <f aca="false">COUNTA(Tracker!$A$5:$A$26)</f>
        <v>22</v>
      </c>
    </row>
    <row r="6" customFormat="false" ht="15" hidden="false" customHeight="false" outlineLevel="0" collapsed="false">
      <c r="A6" s="14" t="s">
        <v>77</v>
      </c>
      <c r="B6" s="16" t="n">
        <f aca="false">IFERROR(AVERAGE(Tracker!$G$5:$G$26),0)</f>
        <v>0</v>
      </c>
    </row>
    <row r="7" customFormat="false" ht="15" hidden="false" customHeight="false" outlineLevel="0" collapsed="false">
      <c r="A7" s="14" t="s">
        <v>78</v>
      </c>
      <c r="B7" s="17" t="n">
        <f aca="false">IFERROR(AVERAGEIF(Tracker!$E$5:$E$26,"&gt;0"),0)</f>
        <v>0</v>
      </c>
    </row>
    <row r="8" customFormat="false" ht="15" hidden="false" customHeight="false" outlineLevel="0" collapsed="false">
      <c r="A8" s="14" t="s">
        <v>79</v>
      </c>
      <c r="B8" s="15" t="n">
        <f aca="false">COUNTBLANK(Tracker!$F$5:$F$26)</f>
        <v>22</v>
      </c>
    </row>
    <row r="9" customFormat="false" ht="15" hidden="false" customHeight="false" outlineLevel="0" collapsed="false">
      <c r="A9" s="14" t="s">
        <v>80</v>
      </c>
      <c r="B9" s="18" t="str">
        <f aca="false">IFERROR(INDEX(Tracker!$A$5:$A$26,MATCH(MIN(Tracker!$G$5:$G$26),Tracker!$G$5:$G$26,0)),"All done")</f>
        <v>Variables and Scope</v>
      </c>
    </row>
    <row r="12" customFormat="false" ht="15" hidden="false" customHeight="false" outlineLevel="0" collapsed="false">
      <c r="A12" s="13" t="s">
        <v>81</v>
      </c>
      <c r="B12" s="13" t="s">
        <v>82</v>
      </c>
      <c r="C12" s="13" t="s">
        <v>83</v>
      </c>
    </row>
    <row r="13" customFormat="false" ht="15" hidden="false" customHeight="false" outlineLevel="0" collapsed="false">
      <c r="A13" s="19" t="s">
        <v>14</v>
      </c>
      <c r="B13" s="20" t="n">
        <f aca="false">COUNTIF(Tracker!$D$5:$D$26,$A13)</f>
        <v>22</v>
      </c>
      <c r="C13" s="21" t="n">
        <f aca="false">IFERROR(B13/$B$5,0)</f>
        <v>1</v>
      </c>
    </row>
    <row r="14" customFormat="false" ht="15" hidden="false" customHeight="false" outlineLevel="0" collapsed="false">
      <c r="A14" s="19" t="s">
        <v>84</v>
      </c>
      <c r="B14" s="20" t="n">
        <f aca="false">COUNTIF(Tracker!$D$5:$D$26,$A14)</f>
        <v>0</v>
      </c>
      <c r="C14" s="21" t="n">
        <f aca="false">IFERROR(B14/$B$5,0)</f>
        <v>0</v>
      </c>
    </row>
    <row r="15" customFormat="false" ht="15" hidden="false" customHeight="false" outlineLevel="0" collapsed="false">
      <c r="A15" s="19" t="s">
        <v>85</v>
      </c>
      <c r="B15" s="20" t="n">
        <f aca="false">COUNTIF(Tracker!$D$5:$D$26,$A15)</f>
        <v>0</v>
      </c>
      <c r="C15" s="21" t="n">
        <f aca="false">IFERROR(B15/$B$5,0)</f>
        <v>0</v>
      </c>
    </row>
    <row r="16" customFormat="false" ht="15" hidden="false" customHeight="false" outlineLevel="0" collapsed="false">
      <c r="A16" s="19" t="s">
        <v>86</v>
      </c>
      <c r="B16" s="20" t="n">
        <f aca="false">COUNTIF(Tracker!$D$5:$D$26,$A16)</f>
        <v>0</v>
      </c>
      <c r="C16" s="21" t="n">
        <f aca="false">IFERROR(B16/$B$5,0)</f>
        <v>0</v>
      </c>
    </row>
    <row r="19" customFormat="false" ht="15" hidden="false" customHeight="false" outlineLevel="0" collapsed="false">
      <c r="A19" s="13" t="s">
        <v>87</v>
      </c>
      <c r="B19" s="13" t="s">
        <v>82</v>
      </c>
      <c r="C19" s="13" t="s">
        <v>86</v>
      </c>
      <c r="D19" s="13" t="s">
        <v>8</v>
      </c>
    </row>
    <row r="20" customFormat="false" ht="15" hidden="false" customHeight="false" outlineLevel="0" collapsed="false">
      <c r="A20" s="19" t="s">
        <v>13</v>
      </c>
      <c r="B20" s="20" t="n">
        <f aca="false">COUNTIF(Tracker!$C$5:$C$26,$A20)</f>
        <v>8</v>
      </c>
      <c r="C20" s="20" t="n">
        <f aca="false">COUNTIFS(Tracker!$C$5:$C$26,$A20,Tracker!$D$5:$D$26,"Confident")</f>
        <v>0</v>
      </c>
      <c r="D20" s="21" t="n">
        <f aca="false">IFERROR(SUMIF(Tracker!$C$5:$C$26,$A20,Tracker!$G$5:$G$26)/B20,0)</f>
        <v>0</v>
      </c>
    </row>
    <row r="21" customFormat="false" ht="15" hidden="false" customHeight="false" outlineLevel="0" collapsed="false">
      <c r="A21" s="19" t="s">
        <v>27</v>
      </c>
      <c r="B21" s="20" t="n">
        <f aca="false">COUNTIF(Tracker!$C$5:$C$26,$A21)</f>
        <v>10</v>
      </c>
      <c r="C21" s="20" t="n">
        <f aca="false">COUNTIFS(Tracker!$C$5:$C$26,$A21,Tracker!$D$5:$D$26,"Confident")</f>
        <v>0</v>
      </c>
      <c r="D21" s="21" t="n">
        <f aca="false">IFERROR(SUMIF(Tracker!$C$5:$C$26,$A21,Tracker!$G$5:$G$26)/B21,0)</f>
        <v>0</v>
      </c>
    </row>
    <row r="22" customFormat="false" ht="15" hidden="false" customHeight="false" outlineLevel="0" collapsed="false">
      <c r="A22" s="19" t="s">
        <v>40</v>
      </c>
      <c r="B22" s="20" t="n">
        <f aca="false">COUNTIF(Tracker!$C$5:$C$26,$A22)</f>
        <v>4</v>
      </c>
      <c r="C22" s="20" t="n">
        <f aca="false">COUNTIFS(Tracker!$C$5:$C$26,$A22,Tracker!$D$5:$D$26,"Confident")</f>
        <v>0</v>
      </c>
      <c r="D22" s="21" t="n">
        <f aca="false">IFERROR(SUMIF(Tracker!$C$5:$C$26,$A22,Tracker!$G$5:$G$26)/B22,0)</f>
        <v>0</v>
      </c>
    </row>
    <row r="24" customFormat="false" ht="15" hidden="false" customHeight="false" outlineLevel="0" collapsed="false">
      <c r="A24" s="2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4" style="0" width="16"/>
  </cols>
  <sheetData>
    <row r="1" customFormat="false" ht="18.5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3" t="s">
        <v>5</v>
      </c>
      <c r="B4" s="13" t="s">
        <v>91</v>
      </c>
      <c r="D4" s="13" t="s">
        <v>4</v>
      </c>
    </row>
    <row r="5" customFormat="false" ht="15" hidden="false" customHeight="false" outlineLevel="0" collapsed="false">
      <c r="A5" s="19" t="s">
        <v>14</v>
      </c>
      <c r="B5" s="23" t="n">
        <v>0</v>
      </c>
      <c r="D5" s="19" t="s">
        <v>13</v>
      </c>
    </row>
    <row r="6" customFormat="false" ht="15" hidden="false" customHeight="false" outlineLevel="0" collapsed="false">
      <c r="A6" s="19" t="s">
        <v>84</v>
      </c>
      <c r="B6" s="23" t="n">
        <v>0.35</v>
      </c>
      <c r="D6" s="19" t="s">
        <v>27</v>
      </c>
    </row>
    <row r="7" customFormat="false" ht="15" hidden="false" customHeight="false" outlineLevel="0" collapsed="false">
      <c r="A7" s="19" t="s">
        <v>85</v>
      </c>
      <c r="B7" s="23" t="n">
        <v>0.7</v>
      </c>
      <c r="D7" s="19" t="s">
        <v>40</v>
      </c>
    </row>
    <row r="8" customFormat="false" ht="15" hidden="false" customHeight="false" outlineLevel="0" collapsed="false">
      <c r="A8" s="19" t="s">
        <v>86</v>
      </c>
      <c r="B8" s="23" t="n">
        <v>1</v>
      </c>
    </row>
    <row r="10" customFormat="false" ht="15" hidden="false" customHeight="false" outlineLevel="0" collapsed="false">
      <c r="A10" s="2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8" min="3" style="0" width="20"/>
  </cols>
  <sheetData>
    <row r="1" customFormat="false" ht="18.5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24" t="s">
        <v>95</v>
      </c>
    </row>
    <row r="5" customFormat="false" ht="15" hidden="false" customHeight="false" outlineLevel="0" collapsed="false">
      <c r="A5" s="25" t="s">
        <v>96</v>
      </c>
      <c r="B5" s="26" t="s">
        <v>97</v>
      </c>
    </row>
    <row r="6" customFormat="false" ht="15" hidden="false" customHeight="false" outlineLevel="0" collapsed="false">
      <c r="A6" s="24" t="s">
        <v>98</v>
      </c>
      <c r="B6" s="26" t="s">
        <v>99</v>
      </c>
    </row>
    <row r="7" customFormat="false" ht="15" hidden="false" customHeight="false" outlineLevel="0" collapsed="false">
      <c r="A7" s="24" t="s">
        <v>100</v>
      </c>
      <c r="B7" s="26" t="s">
        <v>101</v>
      </c>
    </row>
    <row r="8" customFormat="false" ht="15" hidden="false" customHeight="false" outlineLevel="0" collapsed="false">
      <c r="A8" s="24" t="s">
        <v>72</v>
      </c>
      <c r="B8" s="26" t="s">
        <v>102</v>
      </c>
    </row>
    <row r="11" customFormat="false" ht="15" hidden="false" customHeight="false" outlineLevel="0" collapsed="false">
      <c r="A11" s="24" t="s">
        <v>103</v>
      </c>
    </row>
    <row r="12" customFormat="false" ht="15" hidden="false" customHeight="false" outlineLevel="0" collapsed="false">
      <c r="A12" s="13" t="s">
        <v>2</v>
      </c>
      <c r="B12" s="13" t="s">
        <v>3</v>
      </c>
      <c r="C12" s="13" t="s">
        <v>4</v>
      </c>
      <c r="D12" s="13" t="s">
        <v>5</v>
      </c>
      <c r="E12" s="13" t="s">
        <v>6</v>
      </c>
      <c r="F12" s="13" t="s">
        <v>7</v>
      </c>
      <c r="G12" s="13" t="s">
        <v>8</v>
      </c>
      <c r="H12" s="13" t="s">
        <v>10</v>
      </c>
    </row>
    <row r="13" customFormat="false" ht="23.85" hidden="false" customHeight="false" outlineLevel="0" collapsed="false">
      <c r="A13" s="26" t="s">
        <v>25</v>
      </c>
      <c r="B13" s="26" t="s">
        <v>26</v>
      </c>
      <c r="C13" s="26" t="s">
        <v>27</v>
      </c>
      <c r="D13" s="26" t="s">
        <v>85</v>
      </c>
      <c r="E13" s="26" t="n">
        <v>3</v>
      </c>
      <c r="F13" s="26" t="s">
        <v>104</v>
      </c>
      <c r="G13" s="26" t="s">
        <v>105</v>
      </c>
      <c r="H13" s="26" t="s">
        <v>106</v>
      </c>
    </row>
    <row r="14" customFormat="false" ht="15" hidden="false" customHeight="false" outlineLevel="0" collapsed="false">
      <c r="A14" s="22" t="s">
        <v>107</v>
      </c>
    </row>
    <row r="16" customFormat="false" ht="15" hidden="false" customHeight="false" outlineLevel="0" collapsed="false">
      <c r="A16" s="24" t="s">
        <v>108</v>
      </c>
    </row>
    <row r="17" customFormat="false" ht="15" hidden="false" customHeight="false" outlineLevel="0" collapsed="false">
      <c r="A17" s="19" t="s">
        <v>109</v>
      </c>
    </row>
    <row r="18" customFormat="false" ht="15" hidden="false" customHeight="false" outlineLevel="0" collapsed="false">
      <c r="A18" s="19" t="s">
        <v>110</v>
      </c>
    </row>
    <row r="19" customFormat="false" ht="15" hidden="false" customHeight="false" outlineLevel="0" collapsed="false">
      <c r="A19" s="19" t="s">
        <v>111</v>
      </c>
    </row>
    <row r="20" customFormat="false" ht="15" hidden="false" customHeight="false" outlineLevel="0" collapsed="false">
      <c r="A20" s="19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2026-08-16T10:26:16Z</dcterms:created>
  <dc:creator>openpyxl</dc:creator>
  <dc:description/>
  <dc:language>en-US</dc:language>
  <cp:lastModifiedBy/>
  <dcterms:modified xsi:type="dcterms:W3CDTF">2026-08-16T10:26:16Z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